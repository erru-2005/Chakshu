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canner\"/>
    </mc:Choice>
  </mc:AlternateContent>
  <xr:revisionPtr revIDLastSave="0" documentId="13_ncr:1_{E405F4DE-B783-44DB-A0EE-F9BB315BBD5E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" i="1" l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<sst xmlns="http://schemas.openxmlformats.org/spreadsheetml/2006/main" count="408" uniqueCount="189">
  <si>
    <t>Roll No</t>
  </si>
  <si>
    <t>Section</t>
  </si>
  <si>
    <t>Student Name</t>
  </si>
  <si>
    <t>Father Name</t>
  </si>
  <si>
    <t>Gender</t>
  </si>
  <si>
    <t>DOB</t>
  </si>
  <si>
    <t>Email</t>
  </si>
  <si>
    <t>Address</t>
  </si>
  <si>
    <t>Contact No</t>
  </si>
  <si>
    <t>Blood Group</t>
  </si>
  <si>
    <t>State</t>
  </si>
  <si>
    <t>District</t>
  </si>
  <si>
    <t>Religion</t>
  </si>
  <si>
    <t>Category</t>
  </si>
  <si>
    <t>Caste</t>
  </si>
  <si>
    <t>Income</t>
  </si>
  <si>
    <t>PUC Type</t>
  </si>
  <si>
    <t>PUC/Equivalent Roll No</t>
  </si>
  <si>
    <t>PUC/Equivalent Year of Completion</t>
  </si>
  <si>
    <t>PUC/Equivalent Institute Name</t>
  </si>
  <si>
    <t>PUC/Equivalent Total Marks</t>
  </si>
  <si>
    <t>PUC/Equivalent Obtained Marks</t>
  </si>
  <si>
    <t>PUC/Equivalent Percentage/CGPA</t>
  </si>
  <si>
    <t>Program Name</t>
  </si>
  <si>
    <t>Discipline 1</t>
  </si>
  <si>
    <t>Language2</t>
  </si>
  <si>
    <t>ABC ID</t>
  </si>
  <si>
    <t>U05BB24M0001</t>
  </si>
  <si>
    <t>BBA24065</t>
  </si>
  <si>
    <t>I BBA</t>
  </si>
  <si>
    <t>Shreya</t>
  </si>
  <si>
    <t>SHEKHAR</t>
  </si>
  <si>
    <t>Female</t>
  </si>
  <si>
    <t>17-03-2007</t>
  </si>
  <si>
    <t>poojaryshreya890@gmail.com</t>
  </si>
  <si>
    <t>2/140 VANDABERU MANE, MUDUMUNDA POST  VTC BELLALA KUNDAPURA TALUK  UDUPI DISTRICT-576233</t>
  </si>
  <si>
    <t>B+</t>
  </si>
  <si>
    <t>Karnataka</t>
  </si>
  <si>
    <t>Udupi</t>
  </si>
  <si>
    <t>Hindu</t>
  </si>
  <si>
    <t>Category I I (A)</t>
  </si>
  <si>
    <t>Billava</t>
  </si>
  <si>
    <t>mar2024</t>
  </si>
  <si>
    <t>SRI MOOKAMBIKA IND PU COL KOLLURU KUNDAPURA TQ , UDUPI D</t>
  </si>
  <si>
    <t>Bachelor of Business Administration</t>
  </si>
  <si>
    <t>GENERAL</t>
  </si>
  <si>
    <t>KANNADA</t>
  </si>
  <si>
    <t>BBA24075</t>
  </si>
  <si>
    <t>Sumana</t>
  </si>
  <si>
    <t>VITAL DEVADIGA</t>
  </si>
  <si>
    <t>07-03-2007</t>
  </si>
  <si>
    <t>vittalnoojady1972@gmail.com</t>
  </si>
  <si>
    <t>SHRI SIDDIVINAYAKA HOUSE HOTLBAILU, NOOJADI KUNDAPURA TALUK UDUPI DISTRICT-576233</t>
  </si>
  <si>
    <t>O+ve</t>
  </si>
  <si>
    <t>Devadiga</t>
  </si>
  <si>
    <t>GOVT PU COLLEGE KUNDAPURA , UDUPI DT 576201</t>
  </si>
  <si>
    <t>BBA24034</t>
  </si>
  <si>
    <t>Meghana</t>
  </si>
  <si>
    <t>DIGAMBARA</t>
  </si>
  <si>
    <t>06-05-2006</t>
  </si>
  <si>
    <t>meghana123s@gmail.com</t>
  </si>
  <si>
    <t>SULLALLI, ADAGALALE, VILLAGE, SULLALLI POST, SAGAR TQ, SHIMOGA DISTRICT - 577401</t>
  </si>
  <si>
    <t>Shivamogga</t>
  </si>
  <si>
    <t>Deevar</t>
  </si>
  <si>
    <t>MAR2024</t>
  </si>
  <si>
    <t>BBA24059</t>
  </si>
  <si>
    <t>Samratha</t>
  </si>
  <si>
    <t>CHANDRASHEKAR SHERUGAR</t>
  </si>
  <si>
    <t>24-12-2005</t>
  </si>
  <si>
    <t>samrathasammu24@gmail.com</t>
  </si>
  <si>
    <t>U 3-53 /A VASUKI HADIBETTU UPPINAKUDRU KUNDAPUR TALUK UDUPI DISTRICT-576230</t>
  </si>
  <si>
    <t>A+</t>
  </si>
  <si>
    <t>Seregara</t>
  </si>
  <si>
    <t>RN SHETTY PU COLLEGE KUNDAPURA , UDUPI DT 576201</t>
  </si>
  <si>
    <t>BBA24036</t>
  </si>
  <si>
    <t>NAMRATHA</t>
  </si>
  <si>
    <t>KRISHNA MOGAVEERA</t>
  </si>
  <si>
    <t>23-12-2006</t>
  </si>
  <si>
    <t>namrathabeejadi@gmail.com</t>
  </si>
  <si>
    <t>3-235 SRI DEVI NILAYA KADURU MANE THRIMURTHI CIRCLE BEEJADI KUNDAPUR TALUK UDUPI DISTRICT-576222</t>
  </si>
  <si>
    <t>Category I</t>
  </si>
  <si>
    <t>Mogaveera</t>
  </si>
  <si>
    <t>BBA24035</t>
  </si>
  <si>
    <t>SHANKARA MOGAVEERA</t>
  </si>
  <si>
    <t>18-07-2006</t>
  </si>
  <si>
    <t>meganm357@gmail.com</t>
  </si>
  <si>
    <t>H.NO. 2/45, JADKAT ROAD, NERALAKATTE, KARKUNJE POST &amp; VILLAGE, KUNDAPURA TQ - 576283</t>
  </si>
  <si>
    <t>O+</t>
  </si>
  <si>
    <t>BBA24003</t>
  </si>
  <si>
    <t>Adithya Kharvi</t>
  </si>
  <si>
    <t>RAMESH KHARVI</t>
  </si>
  <si>
    <t>Male</t>
  </si>
  <si>
    <t>19-06-2006</t>
  </si>
  <si>
    <t>adithyakharvi2020@gmail.com</t>
  </si>
  <si>
    <t>53/5 A, III WARD, VIKRAMADITHYA HOUSE, CHICKENSAL ROAD, KUNDAPURA POST &amp; VILLAGE, KUNDAPURA TQ - 576201</t>
  </si>
  <si>
    <t>Kharvi/Konkan Kharvi</t>
  </si>
  <si>
    <t>BBA24080</t>
  </si>
  <si>
    <t>Vismith Kumar</t>
  </si>
  <si>
    <t>VISHWANATHA</t>
  </si>
  <si>
    <t>28-06-2006</t>
  </si>
  <si>
    <t>vismithkumar555@gmail.com</t>
  </si>
  <si>
    <t>111-72, CHIKKU SADANA, KAMTIYAR BETTU, BEEJADI POST &amp; VILLAGE, KUNDAPURA TQ - 576222</t>
  </si>
  <si>
    <t>Scheduled Caste</t>
  </si>
  <si>
    <t>Adi Dravida</t>
  </si>
  <si>
    <t>VIVEKA PU COLLEGE KOTA , UDUPI TQ DT 576221</t>
  </si>
  <si>
    <t>BBA24005</t>
  </si>
  <si>
    <t>Akash</t>
  </si>
  <si>
    <t>CHANDRA SHEKAR NAIK</t>
  </si>
  <si>
    <t>14-01-2007</t>
  </si>
  <si>
    <t>an233688@gmail.com</t>
  </si>
  <si>
    <t>2-107, HEGGODLU, KULLENJE VILLEGE, MAVINKODLU POST, KUNDAPURA TQ - 576227</t>
  </si>
  <si>
    <t>Scheduled Tribe</t>
  </si>
  <si>
    <t>Marati (In South Canara Dist)</t>
  </si>
  <si>
    <t>GOVT HR SHETTY PU COLLEGE HALADI KUNDAPUR TQ , UDUPI DT</t>
  </si>
  <si>
    <t>BBA24011</t>
  </si>
  <si>
    <t>Bhoomika</t>
  </si>
  <si>
    <t>VASUDEVA NAIK</t>
  </si>
  <si>
    <t>14-08-2006</t>
  </si>
  <si>
    <t>bhoomikavasudeva@gmail.com</t>
  </si>
  <si>
    <t>TANTRADI KADOOR MANDARTHI POST BRAMHAVAR TALUK UDUPI DISTRICT-576234</t>
  </si>
  <si>
    <t>Kudubi</t>
  </si>
  <si>
    <t>SDP TEMPLE PU COLLEGE MANDARTHI , UDUPI TQ 576223</t>
  </si>
  <si>
    <t>BBA24028</t>
  </si>
  <si>
    <t>KARTHIK</t>
  </si>
  <si>
    <t>KRISHNA</t>
  </si>
  <si>
    <t>05-08-2006</t>
  </si>
  <si>
    <t>krishnakarthik2029@gmail.com</t>
  </si>
  <si>
    <t>2-166 DEVARA BAILU VTC KONI KUNDAPUAR TALUK UDUPI DISTRICT-576217</t>
  </si>
  <si>
    <t>-</t>
  </si>
  <si>
    <t>Samskrit</t>
  </si>
  <si>
    <t>BBA24020</t>
  </si>
  <si>
    <t>DIVYA</t>
  </si>
  <si>
    <t>VASU POOJARY</t>
  </si>
  <si>
    <t>15-10-2006</t>
  </si>
  <si>
    <t>chaithrapoojary12@gmail.com</t>
  </si>
  <si>
    <t>1-78 HATTIKUDRU BASROOR KUNDAPUR TALUK UDUPI DISTRICT-576211</t>
  </si>
  <si>
    <t>BBA24056</t>
  </si>
  <si>
    <t>Reshma O</t>
  </si>
  <si>
    <t>OMKARA</t>
  </si>
  <si>
    <t>26-06-2006</t>
  </si>
  <si>
    <t>oreshma78@gmail.com</t>
  </si>
  <si>
    <t>D/O OMKAR DAMBARAGOLLI VTC MARATI POST SULLALI ,SAGAR SHIMOGHA DISTRICT-577401</t>
  </si>
  <si>
    <t>Ediga</t>
  </si>
  <si>
    <t>BBA24069</t>
  </si>
  <si>
    <t>Sinchana Jogi</t>
  </si>
  <si>
    <t>LOKESH JOGI</t>
  </si>
  <si>
    <t>19-07-2006</t>
  </si>
  <si>
    <t>sinchanasinchana38167@gmail.com</t>
  </si>
  <si>
    <t>DALAVAYI HOSAKOPPA B DODDERI POST SORABA TALUK SHIMOGHA DISTRICT-577434</t>
  </si>
  <si>
    <t>Jogi</t>
  </si>
  <si>
    <t>BBA24009</t>
  </si>
  <si>
    <t>Ashik Hegde</t>
  </si>
  <si>
    <t>SURESHA HEGDE</t>
  </si>
  <si>
    <t>10-07-2006</t>
  </si>
  <si>
    <t>hegdeashik90@gmail.com</t>
  </si>
  <si>
    <t>2/11A HENGAVALLI KUNDAPUR TALUK UDUPI DISTRICT-576212</t>
  </si>
  <si>
    <t>Category I I I (A)</t>
  </si>
  <si>
    <t>Heggade</t>
  </si>
  <si>
    <t>BBA24043</t>
  </si>
  <si>
    <t>Preksha</t>
  </si>
  <si>
    <t>CHANDRASHEKAR SHETTY</t>
  </si>
  <si>
    <t>17-04-2006</t>
  </si>
  <si>
    <t>prekshashetty1704@gmail.com</t>
  </si>
  <si>
    <t>2-78A, PARPATH GUDDE ADARBETTU CHITTOR POST, KUNDAPUR TALUK UDUPI DISTRICT-576233</t>
  </si>
  <si>
    <t>B+Ve</t>
  </si>
  <si>
    <t>Category I I I (B)</t>
  </si>
  <si>
    <t>Bunt/Bant</t>
  </si>
  <si>
    <t>BBA24047</t>
  </si>
  <si>
    <t>Pruthvi M Poojary</t>
  </si>
  <si>
    <t>MAHABALA POOJARY</t>
  </si>
  <si>
    <t>24-10-2006</t>
  </si>
  <si>
    <t>laxmitn90@gmail.com</t>
  </si>
  <si>
    <t>2-46 DODDA MANE, ULLOR 74(P)KUNDAPURA TALUK, UDUPI DISTRICT 576229</t>
  </si>
  <si>
    <t>AB+</t>
  </si>
  <si>
    <t>MOTHER TERESAS PU COLLEGE SHANKARNARAYAN KUNDAPUR T , UD</t>
  </si>
  <si>
    <t>Hindi</t>
  </si>
  <si>
    <t>BBA24077</t>
  </si>
  <si>
    <t>Sushanth S Puthran</t>
  </si>
  <si>
    <t>SURESH PUTHRAN</t>
  </si>
  <si>
    <t>21-01-2006</t>
  </si>
  <si>
    <t>sushanthputhran1@gmail.com</t>
  </si>
  <si>
    <t>240-2, GIRIJASHRI HOUSE, NEAR MAHALINGESHWARA TEMPLE, MOORURU, KONI POST &amp; VILLAGE, KUNDAPURA TQ - 576217</t>
  </si>
  <si>
    <t>BBA24061</t>
  </si>
  <si>
    <t>Sanketh</t>
  </si>
  <si>
    <t>RAGHU SHETTY</t>
  </si>
  <si>
    <t>10-09-2006</t>
  </si>
  <si>
    <t>sankethshetty790@gmail.com</t>
  </si>
  <si>
    <t>1-18 BELAGODU KEDOOR(P) KUNDAPURA TALUK UDUPI DISTRICT 576231</t>
  </si>
  <si>
    <t>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</si>
</sst>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" fontId="1" fillId="0" borderId="2" xfId="0" applyNumberFormat="1" applyFont="1" applyBorder="1"/>
    <xf numFmtId="1" fontId="0" fillId="0" borderId="1" xfId="0" applyNumberFormat="1" applyBorder="1"/>
    <xf numFmtId="0" fontId="0" fillId="0" borderId="1" xfId="0" applyBorder="1"/>
    <xf numFmtId="0" fontId="2" fillId="2" borderId="1" xfId="0" applyFont="1" applyFill="1" applyBorder="1"/>
    <xf numFmtId="2" fontId="0" fillId="0" borderId="1" xfId="0" applyNumberFormat="1" applyBorder="1"/>
    <xf numFmtId="1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1"/>
  <sheetViews>
    <sheetView tabSelected="1" workbookViewId="0">
      <selection activeCell="K25" sqref="K25"/>
    </sheetView>
  </sheetViews>
  <sheetFormatPr defaultRowHeight="14.25" x14ac:dyDescent="0.45"/>
  <cols>
    <col min="1" max="1" width="6.3984375" bestFit="1" customWidth="1"/>
    <col min="2" max="2" width="20.1328125" bestFit="1" customWidth="1"/>
    <col min="3" max="3" width="49.3984375" bestFit="1" customWidth="1"/>
    <col min="4" max="4" width="14.3984375" bestFit="1" customWidth="1"/>
    <col min="5" max="5" width="9.59765625" bestFit="1" customWidth="1"/>
    <col min="6" max="6" width="7.59765625" bestFit="1" customWidth="1"/>
    <col min="7" max="7" width="18.265625" bestFit="1" customWidth="1"/>
    <col min="8" max="8" width="27.1328125" bestFit="1" customWidth="1"/>
    <col min="9" max="9" width="7.73046875" bestFit="1" customWidth="1"/>
    <col min="10" max="10" width="10.3984375" bestFit="1" customWidth="1"/>
    <col min="11" max="11" width="33.1328125" bestFit="1" customWidth="1"/>
    <col min="12" max="12" width="111.265625" bestFit="1" customWidth="1"/>
    <col min="13" max="13" width="11" bestFit="1" customWidth="1"/>
    <col min="14" max="14" width="12.1328125" bestFit="1" customWidth="1"/>
    <col min="15" max="15" width="9.73046875" bestFit="1" customWidth="1"/>
    <col min="16" max="16" width="11.59765625" bestFit="1" customWidth="1"/>
    <col min="17" max="17" width="8.265625" bestFit="1" customWidth="1"/>
    <col min="18" max="18" width="15.73046875" bestFit="1" customWidth="1"/>
    <col min="19" max="19" width="26.73046875" bestFit="1" customWidth="1"/>
    <col min="20" max="20" width="9.59765625" bestFit="1" customWidth="1"/>
    <col min="21" max="21" width="9.3984375" bestFit="1" customWidth="1"/>
    <col min="22" max="22" width="22.265625" bestFit="1" customWidth="1"/>
    <col min="23" max="23" width="33.265625" bestFit="1" customWidth="1"/>
    <col min="24" max="24" width="62.86328125" bestFit="1" customWidth="1"/>
    <col min="25" max="25" width="26.265625" bestFit="1" customWidth="1"/>
    <col min="26" max="26" width="30.265625" bestFit="1" customWidth="1"/>
    <col min="27" max="27" width="32" bestFit="1" customWidth="1"/>
    <col min="28" max="28" width="33.59765625" bestFit="1" customWidth="1"/>
    <col min="29" max="29" width="11.1328125" bestFit="1" customWidth="1"/>
    <col min="30" max="30" width="10.265625" bestFit="1" customWidth="1"/>
    <col min="31" max="31" width="13.1328125" bestFit="1" customWidth="1"/>
    <col min="39" max="39" width="31.265625" bestFit="1" customWidth="1"/>
    <col min="40" max="40" width="32.3984375" bestFit="1" customWidth="1"/>
    <col min="41" max="41" width="25.265625" bestFit="1" customWidth="1"/>
    <col min="42" max="42" width="29.265625" bestFit="1" customWidth="1"/>
    <col min="43" max="43" width="31.1328125" bestFit="1" customWidth="1"/>
    <col min="46" max="46" width="11.1328125" bestFit="1" customWidth="1"/>
    <col min="47" max="47" width="14.265625" bestFit="1" customWidth="1"/>
    <col min="48" max="48" width="10.265625" bestFit="1" customWidth="1"/>
    <col min="51" max="51" width="10.59765625" bestFit="1" customWidth="1"/>
    <col min="52" max="52" width="18.265625" bestFit="1" customWidth="1"/>
    <col min="53" max="53" width="14.3984375" bestFit="1" customWidth="1"/>
    <col min="54" max="54" width="5.59765625" bestFit="1" customWidth="1"/>
    <col min="55" max="55" width="16.73046875" bestFit="1" customWidth="1"/>
    <col min="56" max="56" width="18.86328125" bestFit="1" customWidth="1"/>
    <col min="57" max="57" width="16.265625" bestFit="1" customWidth="1"/>
    <col min="58" max="58" width="18.1328125" bestFit="1" customWidth="1"/>
    <col min="59" max="59" width="16.86328125" bestFit="1" customWidth="1"/>
    <col min="60" max="60" width="20.86328125" bestFit="1" customWidth="1"/>
    <col min="61" max="61" width="23.3984375" bestFit="1" customWidth="1"/>
    <col min="62" max="62" width="13.265625" bestFit="1" customWidth="1"/>
    <col min="63" max="63" width="4.73046875" bestFit="1" customWidth="1"/>
    <col min="64" max="64" width="4.3984375" bestFit="1" customWidth="1"/>
    <col min="65" max="65" width="28.1328125" bestFit="1" customWidth="1"/>
    <col min="66" max="66" width="32.265625" bestFit="1" customWidth="1"/>
    <col min="67" max="67" width="16.86328125" bestFit="1" customWidth="1"/>
    <col min="68" max="68" width="12.73046875" bestFit="1" customWidth="1"/>
    <col min="69" max="69" width="8.59765625" bestFit="1" customWidth="1"/>
    <col min="70" max="70" width="23.86328125" bestFit="1" customWidth="1"/>
    <col min="71" max="71" width="15.3984375" bestFit="1" customWidth="1"/>
    <col min="72" max="72" width="20.59765625" bestFit="1" customWidth="1"/>
    <col min="73" max="73" width="15.1328125" bestFit="1" customWidth="1"/>
    <col min="74" max="74" width="20" bestFit="1" customWidth="1"/>
    <col min="76" max="76" width="18.1328125" bestFit="1" customWidth="1"/>
    <col min="77" max="77" width="26" bestFit="1" customWidth="1"/>
    <col min="78" max="78" width="6.1328125" bestFit="1" customWidth="1"/>
  </cols>
  <sheetData>
    <row r="1" spans="1:77" x14ac:dyDescent="0.45">
      <c r="A1" s="1"/>
      <c r="B1" s="1"/>
      <c r="C1" s="1"/>
      <c r="D1" s="1" t="s">
        <v>188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2" t="s">
        <v>26</v>
      </c>
    </row>
    <row r="2" spans="1:77" x14ac:dyDescent="0.45">
      <c r="A2" s="4"/>
      <c r="B2" s="5"/>
      <c r="C2" s="5"/>
      <c r="D2" s="5" t="s">
        <v>27</v>
      </c>
      <c r="E2" s="6" t="s">
        <v>28</v>
      </c>
      <c r="F2" s="2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>
        <v>7019705418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7">
        <v>40000</v>
      </c>
      <c r="U2" s="5"/>
      <c r="V2" s="4">
        <v>20249748843</v>
      </c>
      <c r="W2" s="5" t="s">
        <v>42</v>
      </c>
      <c r="X2" s="5" t="s">
        <v>43</v>
      </c>
      <c r="Y2" s="4">
        <v>600</v>
      </c>
      <c r="Z2" s="4">
        <v>419</v>
      </c>
      <c r="AA2" s="5">
        <f>Z2*100/Y2</f>
        <v>69.833333333333329</v>
      </c>
      <c r="AB2" s="5" t="s">
        <v>44</v>
      </c>
      <c r="AC2" s="5" t="s">
        <v>45</v>
      </c>
      <c r="AD2" s="5" t="s">
        <v>46</v>
      </c>
      <c r="AE2" s="4">
        <v>987465899421</v>
      </c>
      <c r="AM2" s="1"/>
      <c r="AN2" s="1"/>
      <c r="AO2" s="1"/>
      <c r="AP2" s="1"/>
      <c r="AQ2" s="1"/>
      <c r="AT2" s="1"/>
      <c r="AU2" s="1"/>
      <c r="AV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X2" s="2"/>
      <c r="BY2" s="3"/>
    </row>
    <row r="3" spans="1:77" x14ac:dyDescent="0.45">
      <c r="A3" s="4"/>
      <c r="B3" s="5"/>
      <c r="C3" s="5"/>
      <c r="D3" s="5" t="s">
        <v>27</v>
      </c>
      <c r="E3" s="6" t="s">
        <v>47</v>
      </c>
      <c r="F3" s="2" t="s">
        <v>29</v>
      </c>
      <c r="G3" s="5" t="s">
        <v>48</v>
      </c>
      <c r="H3" s="5" t="s">
        <v>49</v>
      </c>
      <c r="I3" s="5" t="s">
        <v>32</v>
      </c>
      <c r="J3" s="5" t="s">
        <v>50</v>
      </c>
      <c r="K3" s="5" t="s">
        <v>51</v>
      </c>
      <c r="L3" s="5" t="s">
        <v>52</v>
      </c>
      <c r="M3" s="5">
        <v>8296545841</v>
      </c>
      <c r="N3" s="5" t="s">
        <v>53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54</v>
      </c>
      <c r="T3" s="7">
        <v>100000</v>
      </c>
      <c r="U3" s="5"/>
      <c r="V3" s="4">
        <v>20249736538</v>
      </c>
      <c r="W3" s="5" t="s">
        <v>42</v>
      </c>
      <c r="X3" s="5" t="s">
        <v>55</v>
      </c>
      <c r="Y3" s="4">
        <v>600</v>
      </c>
      <c r="Z3" s="4">
        <v>454</v>
      </c>
      <c r="AA3" s="5">
        <f>Z3*100/Y3</f>
        <v>75.666666666666671</v>
      </c>
      <c r="AB3" s="5" t="s">
        <v>44</v>
      </c>
      <c r="AC3" s="5" t="s">
        <v>45</v>
      </c>
      <c r="AD3" s="5" t="s">
        <v>46</v>
      </c>
      <c r="AE3" s="4">
        <v>348592373328</v>
      </c>
      <c r="AM3" s="5"/>
      <c r="AN3" s="5"/>
      <c r="AO3" s="7"/>
      <c r="AP3" s="7"/>
      <c r="AQ3" s="7"/>
      <c r="AT3" s="5"/>
      <c r="AU3" s="5"/>
      <c r="AV3" s="5"/>
      <c r="AY3" s="4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1"/>
      <c r="BX3" s="5"/>
      <c r="BY3" s="8"/>
    </row>
    <row r="4" spans="1:77" x14ac:dyDescent="0.45">
      <c r="A4" s="4"/>
      <c r="B4" s="5"/>
      <c r="C4" s="5"/>
      <c r="D4" s="5" t="s">
        <v>27</v>
      </c>
      <c r="E4" s="6" t="s">
        <v>56</v>
      </c>
      <c r="F4" s="2" t="s">
        <v>29</v>
      </c>
      <c r="G4" s="5" t="s">
        <v>57</v>
      </c>
      <c r="H4" s="5" t="s">
        <v>58</v>
      </c>
      <c r="I4" s="5" t="s">
        <v>32</v>
      </c>
      <c r="J4" s="5" t="s">
        <v>59</v>
      </c>
      <c r="K4" s="5" t="s">
        <v>60</v>
      </c>
      <c r="L4" s="5" t="s">
        <v>61</v>
      </c>
      <c r="M4" s="5">
        <v>8105092090</v>
      </c>
      <c r="N4" s="5" t="s">
        <v>36</v>
      </c>
      <c r="O4" s="5" t="s">
        <v>37</v>
      </c>
      <c r="P4" s="5" t="s">
        <v>62</v>
      </c>
      <c r="Q4" s="5" t="s">
        <v>39</v>
      </c>
      <c r="R4" s="5" t="s">
        <v>40</v>
      </c>
      <c r="S4" s="5" t="s">
        <v>63</v>
      </c>
      <c r="T4" s="7">
        <v>40000</v>
      </c>
      <c r="U4" s="5"/>
      <c r="V4" s="4">
        <v>20249748651</v>
      </c>
      <c r="W4" s="5" t="s">
        <v>64</v>
      </c>
      <c r="X4" s="5" t="s">
        <v>43</v>
      </c>
      <c r="Y4" s="4">
        <v>600</v>
      </c>
      <c r="Z4" s="4">
        <v>452</v>
      </c>
      <c r="AA4" s="5">
        <f>Z4*100/Y4</f>
        <v>75.333333333333329</v>
      </c>
      <c r="AB4" s="5" t="s">
        <v>44</v>
      </c>
      <c r="AC4" s="5" t="s">
        <v>45</v>
      </c>
      <c r="AD4" s="5" t="s">
        <v>46</v>
      </c>
      <c r="AE4" s="4">
        <v>721970951227</v>
      </c>
      <c r="AM4" s="5"/>
      <c r="AN4" s="5"/>
      <c r="AO4" s="7"/>
      <c r="AP4" s="7"/>
      <c r="AQ4" s="7"/>
      <c r="AT4" s="5"/>
      <c r="AU4" s="5"/>
      <c r="AV4" s="5"/>
      <c r="AY4" s="4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1"/>
      <c r="BX4" s="5"/>
      <c r="BY4" s="8"/>
    </row>
    <row r="5" spans="1:77" x14ac:dyDescent="0.45">
      <c r="A5" s="4"/>
      <c r="B5" s="5"/>
      <c r="C5" s="5"/>
      <c r="D5" s="5" t="s">
        <v>27</v>
      </c>
      <c r="E5" s="6" t="s">
        <v>65</v>
      </c>
      <c r="F5" s="2" t="s">
        <v>29</v>
      </c>
      <c r="G5" s="5" t="s">
        <v>66</v>
      </c>
      <c r="H5" s="5" t="s">
        <v>67</v>
      </c>
      <c r="I5" s="5" t="s">
        <v>32</v>
      </c>
      <c r="J5" s="5" t="s">
        <v>68</v>
      </c>
      <c r="K5" s="5" t="s">
        <v>69</v>
      </c>
      <c r="L5" s="5" t="s">
        <v>70</v>
      </c>
      <c r="M5" s="5">
        <v>8147081203</v>
      </c>
      <c r="N5" s="5" t="s">
        <v>71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72</v>
      </c>
      <c r="T5" s="7">
        <v>12000</v>
      </c>
      <c r="U5" s="5"/>
      <c r="V5" s="4">
        <v>20249741018</v>
      </c>
      <c r="W5" s="5" t="s">
        <v>42</v>
      </c>
      <c r="X5" s="5" t="s">
        <v>73</v>
      </c>
      <c r="Y5" s="4">
        <v>600</v>
      </c>
      <c r="Z5" s="4">
        <v>387</v>
      </c>
      <c r="AA5" s="5">
        <f>Z5*100/Y5</f>
        <v>64.5</v>
      </c>
      <c r="AB5" s="5" t="s">
        <v>44</v>
      </c>
      <c r="AC5" s="5" t="s">
        <v>45</v>
      </c>
      <c r="AD5" s="5" t="s">
        <v>46</v>
      </c>
      <c r="AE5" s="4">
        <v>648176299346</v>
      </c>
      <c r="AM5" s="5"/>
      <c r="AN5" s="5"/>
      <c r="AO5" s="7"/>
      <c r="AP5" s="7"/>
      <c r="AQ5" s="7"/>
      <c r="AT5" s="5"/>
      <c r="AU5" s="5"/>
      <c r="AV5" s="5"/>
      <c r="AY5" s="4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1"/>
      <c r="BX5" s="5"/>
      <c r="BY5" s="8"/>
    </row>
    <row r="6" spans="1:77" x14ac:dyDescent="0.45">
      <c r="A6" s="4"/>
      <c r="B6" s="5"/>
      <c r="C6" s="5"/>
      <c r="D6" s="5" t="s">
        <v>27</v>
      </c>
      <c r="E6" s="6" t="s">
        <v>74</v>
      </c>
      <c r="F6" s="2" t="s">
        <v>29</v>
      </c>
      <c r="G6" s="5" t="s">
        <v>75</v>
      </c>
      <c r="H6" s="5" t="s">
        <v>76</v>
      </c>
      <c r="I6" s="5" t="s">
        <v>32</v>
      </c>
      <c r="J6" s="5" t="s">
        <v>77</v>
      </c>
      <c r="K6" s="5" t="s">
        <v>78</v>
      </c>
      <c r="L6" s="5" t="s">
        <v>79</v>
      </c>
      <c r="M6" s="5">
        <v>8792547995</v>
      </c>
      <c r="N6" s="5" t="s">
        <v>36</v>
      </c>
      <c r="O6" s="5" t="s">
        <v>37</v>
      </c>
      <c r="P6" s="5" t="s">
        <v>38</v>
      </c>
      <c r="Q6" s="5" t="s">
        <v>39</v>
      </c>
      <c r="R6" s="5" t="s">
        <v>80</v>
      </c>
      <c r="S6" s="5" t="s">
        <v>81</v>
      </c>
      <c r="T6" s="7">
        <v>90000</v>
      </c>
      <c r="U6" s="5"/>
      <c r="V6" s="4">
        <v>20249736186</v>
      </c>
      <c r="W6" s="5" t="s">
        <v>42</v>
      </c>
      <c r="X6" s="5" t="s">
        <v>55</v>
      </c>
      <c r="Y6" s="4">
        <v>600</v>
      </c>
      <c r="Z6" s="4">
        <v>469</v>
      </c>
      <c r="AA6" s="5">
        <f>Z6*100/Y6</f>
        <v>78.166666666666671</v>
      </c>
      <c r="AB6" s="5" t="s">
        <v>44</v>
      </c>
      <c r="AC6" s="5" t="s">
        <v>45</v>
      </c>
      <c r="AD6" s="5" t="s">
        <v>46</v>
      </c>
      <c r="AE6" s="4">
        <v>776608262509</v>
      </c>
      <c r="AM6" s="5"/>
      <c r="AN6" s="5"/>
      <c r="AO6" s="7"/>
      <c r="AP6" s="7"/>
      <c r="AQ6" s="7"/>
      <c r="AT6" s="5"/>
      <c r="AU6" s="5"/>
      <c r="AV6" s="5"/>
      <c r="AY6" s="4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1"/>
      <c r="BX6" s="5"/>
      <c r="BY6" s="8"/>
    </row>
    <row r="7" spans="1:77" x14ac:dyDescent="0.45">
      <c r="A7" s="4"/>
      <c r="B7" s="5"/>
      <c r="C7" s="5"/>
      <c r="D7" s="5" t="s">
        <v>27</v>
      </c>
      <c r="E7" s="6" t="s">
        <v>82</v>
      </c>
      <c r="F7" s="2" t="s">
        <v>29</v>
      </c>
      <c r="G7" s="5" t="s">
        <v>57</v>
      </c>
      <c r="H7" s="5" t="s">
        <v>83</v>
      </c>
      <c r="I7" s="5" t="s">
        <v>32</v>
      </c>
      <c r="J7" s="5" t="s">
        <v>84</v>
      </c>
      <c r="K7" s="5" t="s">
        <v>85</v>
      </c>
      <c r="L7" s="5" t="s">
        <v>86</v>
      </c>
      <c r="M7" s="5">
        <v>7795849717</v>
      </c>
      <c r="N7" s="5" t="s">
        <v>87</v>
      </c>
      <c r="O7" s="5" t="s">
        <v>37</v>
      </c>
      <c r="P7" s="5" t="s">
        <v>38</v>
      </c>
      <c r="Q7" s="5" t="s">
        <v>39</v>
      </c>
      <c r="R7" s="5" t="s">
        <v>80</v>
      </c>
      <c r="S7" s="5" t="s">
        <v>81</v>
      </c>
      <c r="T7" s="7">
        <v>40000</v>
      </c>
      <c r="U7" s="5"/>
      <c r="V7" s="4">
        <v>20249736159</v>
      </c>
      <c r="W7" s="5" t="s">
        <v>64</v>
      </c>
      <c r="X7" s="5" t="s">
        <v>55</v>
      </c>
      <c r="Y7" s="4">
        <v>600</v>
      </c>
      <c r="Z7" s="4">
        <v>463</v>
      </c>
      <c r="AA7" s="5">
        <f>Z7*100/Y7</f>
        <v>77.166666666666671</v>
      </c>
      <c r="AB7" s="5" t="s">
        <v>44</v>
      </c>
      <c r="AC7" s="5" t="s">
        <v>45</v>
      </c>
      <c r="AD7" s="5" t="s">
        <v>46</v>
      </c>
      <c r="AE7" s="4">
        <v>634815884544</v>
      </c>
      <c r="AM7" s="5"/>
      <c r="AN7" s="5"/>
      <c r="AO7" s="7"/>
      <c r="AP7" s="7"/>
      <c r="AQ7" s="7"/>
      <c r="AT7" s="5"/>
      <c r="AU7" s="5"/>
      <c r="AV7" s="5"/>
      <c r="AY7" s="4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1"/>
      <c r="BX7" s="5"/>
      <c r="BY7" s="8"/>
    </row>
    <row r="8" spans="1:77" x14ac:dyDescent="0.45">
      <c r="A8" s="4"/>
      <c r="B8" s="5"/>
      <c r="C8" s="5"/>
      <c r="D8" s="5" t="s">
        <v>27</v>
      </c>
      <c r="E8" s="9" t="s">
        <v>88</v>
      </c>
      <c r="F8" s="2" t="s">
        <v>29</v>
      </c>
      <c r="G8" s="5" t="s">
        <v>89</v>
      </c>
      <c r="H8" s="5" t="s">
        <v>90</v>
      </c>
      <c r="I8" s="5" t="s">
        <v>91</v>
      </c>
      <c r="J8" s="5" t="s">
        <v>92</v>
      </c>
      <c r="K8" s="5" t="s">
        <v>93</v>
      </c>
      <c r="L8" s="5" t="s">
        <v>94</v>
      </c>
      <c r="M8" s="5">
        <v>8971483985</v>
      </c>
      <c r="N8" s="5" t="s">
        <v>87</v>
      </c>
      <c r="O8" s="5" t="s">
        <v>37</v>
      </c>
      <c r="P8" s="5" t="s">
        <v>38</v>
      </c>
      <c r="Q8" s="5" t="s">
        <v>39</v>
      </c>
      <c r="R8" s="5" t="s">
        <v>80</v>
      </c>
      <c r="S8" s="5" t="s">
        <v>95</v>
      </c>
      <c r="T8" s="7">
        <v>20000</v>
      </c>
      <c r="U8" s="5"/>
      <c r="V8" s="4">
        <v>20249735895</v>
      </c>
      <c r="W8" s="5" t="s">
        <v>64</v>
      </c>
      <c r="X8" s="5" t="s">
        <v>55</v>
      </c>
      <c r="Y8" s="4">
        <v>600</v>
      </c>
      <c r="Z8" s="4">
        <v>322</v>
      </c>
      <c r="AA8" s="5">
        <f>Z8*100/Y8</f>
        <v>53.666666666666664</v>
      </c>
      <c r="AB8" s="5" t="s">
        <v>44</v>
      </c>
      <c r="AC8" s="5" t="s">
        <v>45</v>
      </c>
      <c r="AD8" s="5" t="s">
        <v>46</v>
      </c>
      <c r="AE8" s="4">
        <v>350917844133</v>
      </c>
      <c r="AM8" s="5"/>
      <c r="AN8" s="5"/>
      <c r="AO8" s="7"/>
      <c r="AP8" s="7"/>
      <c r="AQ8" s="7"/>
      <c r="AT8" s="5"/>
      <c r="AU8" s="5"/>
      <c r="AV8" s="5"/>
      <c r="AY8" s="4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1"/>
      <c r="BX8" s="5"/>
      <c r="BY8" s="8"/>
    </row>
    <row r="9" spans="1:77" x14ac:dyDescent="0.45">
      <c r="A9" s="4"/>
      <c r="B9" s="5"/>
      <c r="C9" s="5"/>
      <c r="D9" s="5" t="s">
        <v>27</v>
      </c>
      <c r="E9" s="6" t="s">
        <v>96</v>
      </c>
      <c r="F9" s="2" t="s">
        <v>29</v>
      </c>
      <c r="G9" s="5" t="s">
        <v>97</v>
      </c>
      <c r="H9" s="5" t="s">
        <v>98</v>
      </c>
      <c r="I9" s="5" t="s">
        <v>91</v>
      </c>
      <c r="J9" s="5" t="s">
        <v>99</v>
      </c>
      <c r="K9" s="5" t="s">
        <v>100</v>
      </c>
      <c r="L9" s="5" t="s">
        <v>101</v>
      </c>
      <c r="M9" s="5">
        <v>8147180158</v>
      </c>
      <c r="N9" s="5" t="s">
        <v>36</v>
      </c>
      <c r="O9" s="5" t="s">
        <v>37</v>
      </c>
      <c r="P9" s="5" t="s">
        <v>38</v>
      </c>
      <c r="Q9" s="5" t="s">
        <v>39</v>
      </c>
      <c r="R9" s="5" t="s">
        <v>102</v>
      </c>
      <c r="S9" s="5" t="s">
        <v>103</v>
      </c>
      <c r="T9" s="7">
        <v>110000</v>
      </c>
      <c r="U9" s="5"/>
      <c r="V9" s="4">
        <v>20249738463</v>
      </c>
      <c r="W9" s="5" t="s">
        <v>42</v>
      </c>
      <c r="X9" s="5" t="s">
        <v>104</v>
      </c>
      <c r="Y9" s="4">
        <v>600</v>
      </c>
      <c r="Z9" s="4">
        <v>373</v>
      </c>
      <c r="AA9" s="5">
        <f>Z9*100/Y9</f>
        <v>62.166666666666664</v>
      </c>
      <c r="AB9" s="5" t="s">
        <v>44</v>
      </c>
      <c r="AC9" s="5" t="s">
        <v>45</v>
      </c>
      <c r="AD9" s="5" t="s">
        <v>46</v>
      </c>
      <c r="AE9" s="4">
        <v>183822433494</v>
      </c>
      <c r="AM9" s="5"/>
      <c r="AN9" s="5"/>
      <c r="AO9" s="7"/>
      <c r="AP9" s="7"/>
      <c r="AQ9" s="7"/>
      <c r="AT9" s="5"/>
      <c r="AU9" s="5"/>
      <c r="AV9" s="5"/>
      <c r="AY9" s="4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1"/>
      <c r="BX9" s="5"/>
      <c r="BY9" s="8"/>
    </row>
    <row r="10" spans="1:77" x14ac:dyDescent="0.45">
      <c r="A10" s="4"/>
      <c r="B10" s="5"/>
      <c r="C10" s="5"/>
      <c r="D10" s="5" t="s">
        <v>27</v>
      </c>
      <c r="E10" s="9" t="s">
        <v>105</v>
      </c>
      <c r="F10" s="2" t="s">
        <v>29</v>
      </c>
      <c r="G10" s="5" t="s">
        <v>106</v>
      </c>
      <c r="H10" s="5" t="s">
        <v>107</v>
      </c>
      <c r="I10" s="5" t="s">
        <v>91</v>
      </c>
      <c r="J10" s="5" t="s">
        <v>108</v>
      </c>
      <c r="K10" s="5" t="s">
        <v>109</v>
      </c>
      <c r="L10" s="5" t="s">
        <v>110</v>
      </c>
      <c r="M10" s="5">
        <v>7676201975</v>
      </c>
      <c r="N10" s="5" t="s">
        <v>87</v>
      </c>
      <c r="O10" s="5" t="s">
        <v>37</v>
      </c>
      <c r="P10" s="5" t="s">
        <v>38</v>
      </c>
      <c r="Q10" s="5" t="s">
        <v>39</v>
      </c>
      <c r="R10" s="5" t="s">
        <v>111</v>
      </c>
      <c r="S10" s="5" t="s">
        <v>112</v>
      </c>
      <c r="T10" s="7">
        <v>18000</v>
      </c>
      <c r="U10" s="5"/>
      <c r="V10" s="4">
        <v>20249742676</v>
      </c>
      <c r="W10" s="5" t="s">
        <v>64</v>
      </c>
      <c r="X10" s="5" t="s">
        <v>113</v>
      </c>
      <c r="Y10" s="4">
        <v>600</v>
      </c>
      <c r="Z10" s="4">
        <v>529</v>
      </c>
      <c r="AA10" s="5">
        <f>Z10*100/Y10</f>
        <v>88.166666666666671</v>
      </c>
      <c r="AB10" s="5" t="s">
        <v>44</v>
      </c>
      <c r="AC10" s="5" t="s">
        <v>45</v>
      </c>
      <c r="AD10" s="5" t="s">
        <v>46</v>
      </c>
      <c r="AE10" s="4">
        <v>689546570563</v>
      </c>
      <c r="AM10" s="5"/>
      <c r="AN10" s="5"/>
      <c r="AO10" s="7"/>
      <c r="AP10" s="7"/>
      <c r="AQ10" s="7"/>
      <c r="AT10" s="5"/>
      <c r="AU10" s="5"/>
      <c r="AV10" s="5"/>
      <c r="AY10" s="4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1"/>
      <c r="BX10" s="5"/>
      <c r="BY10" s="8"/>
    </row>
    <row r="11" spans="1:77" x14ac:dyDescent="0.45">
      <c r="A11" s="4"/>
      <c r="B11" s="5"/>
      <c r="C11" s="5"/>
      <c r="D11" s="5" t="s">
        <v>27</v>
      </c>
      <c r="E11" s="9" t="s">
        <v>114</v>
      </c>
      <c r="F11" s="2" t="s">
        <v>29</v>
      </c>
      <c r="G11" s="5" t="s">
        <v>115</v>
      </c>
      <c r="H11" s="5" t="s">
        <v>116</v>
      </c>
      <c r="I11" s="5" t="s">
        <v>32</v>
      </c>
      <c r="J11" s="5" t="s">
        <v>117</v>
      </c>
      <c r="K11" s="5" t="s">
        <v>118</v>
      </c>
      <c r="L11" s="5" t="s">
        <v>119</v>
      </c>
      <c r="M11" s="5">
        <v>9606043995</v>
      </c>
      <c r="N11" s="5" t="s">
        <v>87</v>
      </c>
      <c r="O11" s="5" t="s">
        <v>37</v>
      </c>
      <c r="P11" s="5" t="s">
        <v>38</v>
      </c>
      <c r="Q11" s="5" t="s">
        <v>39</v>
      </c>
      <c r="R11" s="5" t="s">
        <v>80</v>
      </c>
      <c r="S11" s="5" t="s">
        <v>120</v>
      </c>
      <c r="T11" s="7">
        <v>24000</v>
      </c>
      <c r="U11" s="5"/>
      <c r="V11" s="4">
        <v>20249739118</v>
      </c>
      <c r="W11" s="5" t="s">
        <v>42</v>
      </c>
      <c r="X11" s="5" t="s">
        <v>121</v>
      </c>
      <c r="Y11" s="4">
        <v>600</v>
      </c>
      <c r="Z11" s="4">
        <v>536</v>
      </c>
      <c r="AA11" s="5">
        <f>Z11*100/Y11</f>
        <v>89.333333333333329</v>
      </c>
      <c r="AB11" s="5" t="s">
        <v>44</v>
      </c>
      <c r="AC11" s="5" t="s">
        <v>45</v>
      </c>
      <c r="AD11" s="5" t="s">
        <v>46</v>
      </c>
      <c r="AE11" s="4">
        <v>902752830113</v>
      </c>
      <c r="AM11" s="5"/>
      <c r="AN11" s="5"/>
      <c r="AO11" s="7"/>
      <c r="AP11" s="7"/>
      <c r="AQ11" s="7"/>
      <c r="AT11" s="5"/>
      <c r="AU11" s="5"/>
      <c r="AV11" s="5"/>
      <c r="AY11" s="4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1"/>
      <c r="BX11" s="5"/>
      <c r="BY11" s="8"/>
    </row>
    <row r="12" spans="1:77" x14ac:dyDescent="0.45">
      <c r="A12" s="4"/>
      <c r="B12" s="5"/>
      <c r="C12" s="5"/>
      <c r="D12" s="5" t="s">
        <v>27</v>
      </c>
      <c r="E12" s="6" t="s">
        <v>122</v>
      </c>
      <c r="F12" s="2" t="s">
        <v>29</v>
      </c>
      <c r="G12" s="5" t="s">
        <v>123</v>
      </c>
      <c r="H12" s="5" t="s">
        <v>124</v>
      </c>
      <c r="I12" s="5" t="s">
        <v>91</v>
      </c>
      <c r="J12" s="5" t="s">
        <v>125</v>
      </c>
      <c r="K12" s="5" t="s">
        <v>126</v>
      </c>
      <c r="L12" s="5" t="s">
        <v>127</v>
      </c>
      <c r="M12" s="5">
        <v>8660508998</v>
      </c>
      <c r="N12" s="5" t="s">
        <v>128</v>
      </c>
      <c r="O12" s="5" t="s">
        <v>37</v>
      </c>
      <c r="P12" s="5" t="s">
        <v>38</v>
      </c>
      <c r="Q12" s="5" t="s">
        <v>39</v>
      </c>
      <c r="R12" s="5" t="s">
        <v>80</v>
      </c>
      <c r="S12" s="5" t="s">
        <v>81</v>
      </c>
      <c r="T12" s="7">
        <v>40000</v>
      </c>
      <c r="U12" s="5"/>
      <c r="V12" s="4">
        <v>20249740750</v>
      </c>
      <c r="W12" s="5" t="s">
        <v>42</v>
      </c>
      <c r="X12" s="5" t="s">
        <v>73</v>
      </c>
      <c r="Y12" s="4">
        <v>600</v>
      </c>
      <c r="Z12" s="4">
        <v>436</v>
      </c>
      <c r="AA12" s="5">
        <f>Z12*100/Y12</f>
        <v>72.666666666666671</v>
      </c>
      <c r="AB12" s="5" t="s">
        <v>44</v>
      </c>
      <c r="AC12" s="5" t="s">
        <v>45</v>
      </c>
      <c r="AD12" s="5" t="s">
        <v>129</v>
      </c>
      <c r="AE12" s="4">
        <v>124672203168</v>
      </c>
      <c r="AM12" s="5"/>
      <c r="AN12" s="5"/>
      <c r="AO12" s="7"/>
      <c r="AP12" s="7"/>
      <c r="AQ12" s="7"/>
      <c r="AT12" s="5"/>
      <c r="AU12" s="5"/>
      <c r="AV12" s="5"/>
      <c r="AY12" s="4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1"/>
      <c r="BX12" s="5"/>
      <c r="BY12" s="8"/>
    </row>
    <row r="13" spans="1:77" x14ac:dyDescent="0.45">
      <c r="A13" s="4"/>
      <c r="B13" s="5"/>
      <c r="C13" s="5"/>
      <c r="D13" s="5" t="s">
        <v>27</v>
      </c>
      <c r="E13" s="9" t="s">
        <v>130</v>
      </c>
      <c r="F13" s="2" t="s">
        <v>29</v>
      </c>
      <c r="G13" s="5" t="s">
        <v>131</v>
      </c>
      <c r="H13" s="5" t="s">
        <v>132</v>
      </c>
      <c r="I13" s="5" t="s">
        <v>32</v>
      </c>
      <c r="J13" s="5" t="s">
        <v>133</v>
      </c>
      <c r="K13" s="5" t="s">
        <v>134</v>
      </c>
      <c r="L13" s="5" t="s">
        <v>135</v>
      </c>
      <c r="M13" s="5">
        <v>9481779153</v>
      </c>
      <c r="N13" s="5" t="s">
        <v>87</v>
      </c>
      <c r="O13" s="5" t="s">
        <v>37</v>
      </c>
      <c r="P13" s="5" t="s">
        <v>38</v>
      </c>
      <c r="Q13" s="5" t="s">
        <v>39</v>
      </c>
      <c r="R13" s="5" t="s">
        <v>40</v>
      </c>
      <c r="S13" s="5" t="s">
        <v>41</v>
      </c>
      <c r="T13" s="7">
        <v>40000</v>
      </c>
      <c r="U13" s="5"/>
      <c r="V13" s="4">
        <v>20249740686</v>
      </c>
      <c r="W13" s="5" t="s">
        <v>64</v>
      </c>
      <c r="X13" s="5" t="s">
        <v>73</v>
      </c>
      <c r="Y13" s="4">
        <v>600</v>
      </c>
      <c r="Z13" s="4">
        <v>375</v>
      </c>
      <c r="AA13" s="5">
        <f>Z13*100/Y13</f>
        <v>62.5</v>
      </c>
      <c r="AB13" s="5" t="s">
        <v>44</v>
      </c>
      <c r="AC13" s="5" t="s">
        <v>45</v>
      </c>
      <c r="AD13" s="5" t="s">
        <v>46</v>
      </c>
      <c r="AE13" s="4">
        <v>932626711131</v>
      </c>
      <c r="AM13" s="5"/>
      <c r="AN13" s="5"/>
      <c r="AO13" s="7"/>
      <c r="AP13" s="7"/>
      <c r="AQ13" s="7"/>
      <c r="AT13" s="5"/>
      <c r="AU13" s="5"/>
      <c r="AV13" s="5"/>
      <c r="AY13" s="4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1"/>
      <c r="BX13" s="5"/>
      <c r="BY13" s="8"/>
    </row>
    <row r="14" spans="1:77" x14ac:dyDescent="0.45">
      <c r="A14" s="4"/>
      <c r="B14" s="5"/>
      <c r="C14" s="5"/>
      <c r="D14" s="5" t="s">
        <v>27</v>
      </c>
      <c r="E14" s="6" t="s">
        <v>136</v>
      </c>
      <c r="F14" s="2" t="s">
        <v>29</v>
      </c>
      <c r="G14" s="5" t="s">
        <v>137</v>
      </c>
      <c r="H14" s="5" t="s">
        <v>138</v>
      </c>
      <c r="I14" s="5" t="s">
        <v>32</v>
      </c>
      <c r="J14" s="5" t="s">
        <v>139</v>
      </c>
      <c r="K14" s="5" t="s">
        <v>140</v>
      </c>
      <c r="L14" s="5" t="s">
        <v>141</v>
      </c>
      <c r="M14" s="5">
        <v>7204602914</v>
      </c>
      <c r="N14" s="5" t="s">
        <v>71</v>
      </c>
      <c r="O14" s="5" t="s">
        <v>37</v>
      </c>
      <c r="P14" s="5" t="s">
        <v>62</v>
      </c>
      <c r="Q14" s="5" t="s">
        <v>39</v>
      </c>
      <c r="R14" s="5" t="s">
        <v>40</v>
      </c>
      <c r="S14" s="5" t="s">
        <v>142</v>
      </c>
      <c r="T14" s="7">
        <v>50000</v>
      </c>
      <c r="U14" s="5"/>
      <c r="V14" s="4">
        <v>20249736330</v>
      </c>
      <c r="W14" s="5" t="s">
        <v>42</v>
      </c>
      <c r="X14" s="5" t="s">
        <v>55</v>
      </c>
      <c r="Y14" s="4">
        <v>600</v>
      </c>
      <c r="Z14" s="4">
        <v>497</v>
      </c>
      <c r="AA14" s="5">
        <f>Z14*100/Y14</f>
        <v>82.833333333333329</v>
      </c>
      <c r="AB14" s="5" t="s">
        <v>44</v>
      </c>
      <c r="AC14" s="5" t="s">
        <v>45</v>
      </c>
      <c r="AD14" s="5" t="s">
        <v>46</v>
      </c>
      <c r="AE14" s="4">
        <v>288685237131</v>
      </c>
      <c r="AM14" s="5"/>
      <c r="AN14" s="5"/>
      <c r="AO14" s="7"/>
      <c r="AP14" s="7"/>
      <c r="AQ14" s="7"/>
      <c r="AT14" s="5"/>
      <c r="AU14" s="5"/>
      <c r="AV14" s="5"/>
      <c r="AY14" s="4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1"/>
      <c r="BX14" s="5"/>
      <c r="BY14" s="8"/>
    </row>
    <row r="15" spans="1:77" x14ac:dyDescent="0.45">
      <c r="A15" s="4"/>
      <c r="B15" s="5"/>
      <c r="C15" s="5"/>
      <c r="D15" s="5" t="s">
        <v>27</v>
      </c>
      <c r="E15" s="6" t="s">
        <v>143</v>
      </c>
      <c r="F15" s="2" t="s">
        <v>29</v>
      </c>
      <c r="G15" s="5" t="s">
        <v>144</v>
      </c>
      <c r="H15" s="5" t="s">
        <v>145</v>
      </c>
      <c r="I15" s="5" t="s">
        <v>32</v>
      </c>
      <c r="J15" s="5" t="s">
        <v>146</v>
      </c>
      <c r="K15" s="5" t="s">
        <v>147</v>
      </c>
      <c r="L15" s="5" t="s">
        <v>148</v>
      </c>
      <c r="M15" s="5">
        <v>8317364996</v>
      </c>
      <c r="N15" s="5" t="s">
        <v>87</v>
      </c>
      <c r="O15" s="5" t="s">
        <v>37</v>
      </c>
      <c r="P15" s="5" t="s">
        <v>62</v>
      </c>
      <c r="Q15" s="5" t="s">
        <v>39</v>
      </c>
      <c r="R15" s="5" t="s">
        <v>80</v>
      </c>
      <c r="S15" s="5" t="s">
        <v>149</v>
      </c>
      <c r="T15" s="7">
        <v>40000</v>
      </c>
      <c r="U15" s="5"/>
      <c r="V15" s="4">
        <v>20249748869</v>
      </c>
      <c r="W15" s="5" t="s">
        <v>42</v>
      </c>
      <c r="X15" s="5" t="s">
        <v>43</v>
      </c>
      <c r="Y15" s="4">
        <v>600</v>
      </c>
      <c r="Z15" s="4">
        <v>510</v>
      </c>
      <c r="AA15" s="5">
        <f>Z15*100/Y15</f>
        <v>85</v>
      </c>
      <c r="AB15" s="5" t="s">
        <v>44</v>
      </c>
      <c r="AC15" s="5" t="s">
        <v>45</v>
      </c>
      <c r="AD15" s="5" t="s">
        <v>46</v>
      </c>
      <c r="AE15" s="4">
        <v>410379941349</v>
      </c>
      <c r="AM15" s="5"/>
      <c r="AN15" s="5"/>
      <c r="AO15" s="7"/>
      <c r="AP15" s="7"/>
      <c r="AQ15" s="7"/>
      <c r="AT15" s="5"/>
      <c r="AU15" s="5"/>
      <c r="AV15" s="5"/>
      <c r="AY15" s="4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1"/>
      <c r="BX15" s="5"/>
      <c r="BY15" s="8"/>
    </row>
    <row r="16" spans="1:77" x14ac:dyDescent="0.45">
      <c r="A16" s="4"/>
      <c r="B16" s="5"/>
      <c r="C16" s="5"/>
      <c r="D16" s="5" t="s">
        <v>27</v>
      </c>
      <c r="E16" s="9" t="s">
        <v>150</v>
      </c>
      <c r="F16" s="2" t="s">
        <v>29</v>
      </c>
      <c r="G16" s="5" t="s">
        <v>151</v>
      </c>
      <c r="H16" s="5" t="s">
        <v>152</v>
      </c>
      <c r="I16" s="5" t="s">
        <v>91</v>
      </c>
      <c r="J16" s="5" t="s">
        <v>153</v>
      </c>
      <c r="K16" s="5" t="s">
        <v>154</v>
      </c>
      <c r="L16" s="5" t="s">
        <v>155</v>
      </c>
      <c r="M16" s="5">
        <v>8123143475</v>
      </c>
      <c r="N16" s="5" t="s">
        <v>71</v>
      </c>
      <c r="O16" s="5" t="s">
        <v>37</v>
      </c>
      <c r="P16" s="5" t="s">
        <v>38</v>
      </c>
      <c r="Q16" s="5" t="s">
        <v>39</v>
      </c>
      <c r="R16" s="5" t="s">
        <v>156</v>
      </c>
      <c r="S16" s="5" t="s">
        <v>157</v>
      </c>
      <c r="T16" s="7">
        <v>80000</v>
      </c>
      <c r="U16" s="5"/>
      <c r="V16" s="4">
        <v>20249739107</v>
      </c>
      <c r="W16" s="5" t="s">
        <v>42</v>
      </c>
      <c r="X16" s="5" t="s">
        <v>121</v>
      </c>
      <c r="Y16" s="4">
        <v>600</v>
      </c>
      <c r="Z16" s="4">
        <v>412</v>
      </c>
      <c r="AA16" s="5">
        <f>Z16*100/Y16</f>
        <v>68.666666666666671</v>
      </c>
      <c r="AB16" s="5" t="s">
        <v>44</v>
      </c>
      <c r="AC16" s="5" t="s">
        <v>45</v>
      </c>
      <c r="AD16" s="5" t="s">
        <v>46</v>
      </c>
      <c r="AE16" s="4">
        <v>406226889849</v>
      </c>
      <c r="AM16" s="5"/>
      <c r="AN16" s="5"/>
      <c r="AO16" s="7"/>
      <c r="AP16" s="7"/>
      <c r="AQ16" s="7"/>
      <c r="AT16" s="5"/>
      <c r="AU16" s="5"/>
      <c r="AV16" s="5"/>
      <c r="AY16" s="4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1"/>
      <c r="BX16" s="5"/>
      <c r="BY16" s="8"/>
    </row>
    <row r="17" spans="1:77" x14ac:dyDescent="0.45">
      <c r="A17" s="4"/>
      <c r="B17" s="5"/>
      <c r="C17" s="5"/>
      <c r="D17" s="5" t="s">
        <v>27</v>
      </c>
      <c r="E17" s="6" t="s">
        <v>158</v>
      </c>
      <c r="F17" s="2" t="s">
        <v>29</v>
      </c>
      <c r="G17" s="5" t="s">
        <v>159</v>
      </c>
      <c r="H17" s="5" t="s">
        <v>160</v>
      </c>
      <c r="I17" s="5" t="s">
        <v>32</v>
      </c>
      <c r="J17" s="5" t="s">
        <v>161</v>
      </c>
      <c r="K17" s="5" t="s">
        <v>162</v>
      </c>
      <c r="L17" s="5" t="s">
        <v>163</v>
      </c>
      <c r="M17" s="5">
        <v>9632726893</v>
      </c>
      <c r="N17" s="5" t="s">
        <v>164</v>
      </c>
      <c r="O17" s="5" t="s">
        <v>37</v>
      </c>
      <c r="P17" s="5" t="s">
        <v>38</v>
      </c>
      <c r="Q17" s="5" t="s">
        <v>39</v>
      </c>
      <c r="R17" s="5" t="s">
        <v>165</v>
      </c>
      <c r="S17" s="5" t="s">
        <v>166</v>
      </c>
      <c r="T17" s="7">
        <v>100000</v>
      </c>
      <c r="U17" s="5"/>
      <c r="V17" s="4">
        <v>20249740940</v>
      </c>
      <c r="W17" s="5" t="s">
        <v>42</v>
      </c>
      <c r="X17" s="5" t="s">
        <v>73</v>
      </c>
      <c r="Y17" s="4">
        <v>600</v>
      </c>
      <c r="Z17" s="4">
        <v>532</v>
      </c>
      <c r="AA17" s="5">
        <f>Z17*100/Y17</f>
        <v>88.666666666666671</v>
      </c>
      <c r="AB17" s="5" t="s">
        <v>44</v>
      </c>
      <c r="AC17" s="5" t="s">
        <v>45</v>
      </c>
      <c r="AD17" s="5" t="s">
        <v>46</v>
      </c>
      <c r="AE17" s="4">
        <v>224500734672</v>
      </c>
      <c r="AM17" s="5"/>
      <c r="AN17" s="5"/>
      <c r="AO17" s="7"/>
      <c r="AP17" s="7"/>
      <c r="AQ17" s="7"/>
      <c r="AT17" s="5"/>
      <c r="AU17" s="5"/>
      <c r="AV17" s="5"/>
      <c r="AY17" s="4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1"/>
      <c r="BX17" s="5"/>
      <c r="BY17" s="8"/>
    </row>
    <row r="18" spans="1:77" x14ac:dyDescent="0.45">
      <c r="A18" s="4"/>
      <c r="B18" s="5"/>
      <c r="C18" s="5"/>
      <c r="D18" s="5" t="s">
        <v>27</v>
      </c>
      <c r="E18" s="6" t="s">
        <v>167</v>
      </c>
      <c r="F18" s="2" t="s">
        <v>29</v>
      </c>
      <c r="G18" s="5" t="s">
        <v>168</v>
      </c>
      <c r="H18" s="5" t="s">
        <v>169</v>
      </c>
      <c r="I18" s="5" t="s">
        <v>32</v>
      </c>
      <c r="J18" s="5" t="s">
        <v>170</v>
      </c>
      <c r="K18" s="5" t="s">
        <v>171</v>
      </c>
      <c r="L18" s="5" t="s">
        <v>172</v>
      </c>
      <c r="M18" s="5">
        <v>8792455057</v>
      </c>
      <c r="N18" s="5" t="s">
        <v>173</v>
      </c>
      <c r="O18" s="5" t="s">
        <v>37</v>
      </c>
      <c r="P18" s="5" t="s">
        <v>38</v>
      </c>
      <c r="Q18" s="5" t="s">
        <v>39</v>
      </c>
      <c r="R18" s="5" t="s">
        <v>40</v>
      </c>
      <c r="S18" s="5" t="s">
        <v>41</v>
      </c>
      <c r="T18" s="7">
        <v>40000</v>
      </c>
      <c r="U18" s="5"/>
      <c r="V18" s="4">
        <v>20249742938</v>
      </c>
      <c r="W18" s="5" t="s">
        <v>42</v>
      </c>
      <c r="X18" s="5" t="s">
        <v>174</v>
      </c>
      <c r="Y18" s="4">
        <v>600</v>
      </c>
      <c r="Z18" s="4">
        <v>571</v>
      </c>
      <c r="AA18" s="5">
        <f>Z18*100/Y18</f>
        <v>95.166666666666671</v>
      </c>
      <c r="AB18" s="5" t="s">
        <v>44</v>
      </c>
      <c r="AC18" s="5" t="s">
        <v>45</v>
      </c>
      <c r="AD18" s="5" t="s">
        <v>175</v>
      </c>
      <c r="AE18" s="4">
        <v>297245283340</v>
      </c>
      <c r="AM18" s="5"/>
      <c r="AN18" s="5"/>
      <c r="AO18" s="7"/>
      <c r="AP18" s="7"/>
      <c r="AQ18" s="7"/>
      <c r="AT18" s="5"/>
      <c r="AU18" s="5"/>
      <c r="AV18" s="5"/>
      <c r="AY18" s="4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1"/>
      <c r="BX18" s="5"/>
      <c r="BY18" s="8"/>
    </row>
    <row r="19" spans="1:77" x14ac:dyDescent="0.45">
      <c r="A19" s="4"/>
      <c r="B19" s="5"/>
      <c r="C19" s="5"/>
      <c r="D19" s="5" t="s">
        <v>27</v>
      </c>
      <c r="E19" s="6" t="s">
        <v>176</v>
      </c>
      <c r="F19" s="2" t="s">
        <v>29</v>
      </c>
      <c r="G19" s="5" t="s">
        <v>177</v>
      </c>
      <c r="H19" s="5" t="s">
        <v>178</v>
      </c>
      <c r="I19" s="5" t="s">
        <v>91</v>
      </c>
      <c r="J19" s="5" t="s">
        <v>179</v>
      </c>
      <c r="K19" s="5" t="s">
        <v>180</v>
      </c>
      <c r="L19" s="5" t="s">
        <v>181</v>
      </c>
      <c r="M19" s="5">
        <v>8217427135</v>
      </c>
      <c r="N19" s="5" t="s">
        <v>87</v>
      </c>
      <c r="O19" s="5" t="s">
        <v>37</v>
      </c>
      <c r="P19" s="5" t="s">
        <v>38</v>
      </c>
      <c r="Q19" s="5" t="s">
        <v>39</v>
      </c>
      <c r="R19" s="5" t="s">
        <v>80</v>
      </c>
      <c r="S19" s="5" t="s">
        <v>81</v>
      </c>
      <c r="T19" s="7">
        <v>60000</v>
      </c>
      <c r="U19" s="5"/>
      <c r="V19" s="4">
        <v>20249741175</v>
      </c>
      <c r="W19" s="5" t="s">
        <v>64</v>
      </c>
      <c r="X19" s="5" t="s">
        <v>73</v>
      </c>
      <c r="Y19" s="4">
        <v>600</v>
      </c>
      <c r="Z19" s="4">
        <v>515</v>
      </c>
      <c r="AA19" s="5">
        <f>Z19*100/Y19</f>
        <v>85.833333333333329</v>
      </c>
      <c r="AB19" s="5" t="s">
        <v>44</v>
      </c>
      <c r="AC19" s="5" t="s">
        <v>45</v>
      </c>
      <c r="AD19" s="5" t="s">
        <v>175</v>
      </c>
      <c r="AE19" s="4">
        <v>870549166683</v>
      </c>
      <c r="AM19" s="5"/>
      <c r="AN19" s="5"/>
      <c r="AO19" s="7"/>
      <c r="AP19" s="7"/>
      <c r="AQ19" s="7"/>
      <c r="AT19" s="5"/>
      <c r="AU19" s="5"/>
      <c r="AV19" s="5"/>
      <c r="AY19" s="4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1"/>
      <c r="BX19" s="5"/>
      <c r="BY19" s="8"/>
    </row>
    <row r="20" spans="1:77" x14ac:dyDescent="0.45">
      <c r="A20" s="4"/>
      <c r="B20" s="5"/>
      <c r="C20" s="5"/>
      <c r="D20" s="5" t="s">
        <v>27</v>
      </c>
      <c r="E20" s="6" t="s">
        <v>182</v>
      </c>
      <c r="F20" s="2" t="s">
        <v>29</v>
      </c>
      <c r="G20" s="5" t="s">
        <v>183</v>
      </c>
      <c r="H20" s="5" t="s">
        <v>184</v>
      </c>
      <c r="I20" s="5" t="s">
        <v>91</v>
      </c>
      <c r="J20" s="5" t="s">
        <v>185</v>
      </c>
      <c r="K20" s="5" t="s">
        <v>186</v>
      </c>
      <c r="L20" s="5" t="s">
        <v>187</v>
      </c>
      <c r="M20" s="5">
        <v>9663947239</v>
      </c>
      <c r="N20" s="5" t="s">
        <v>87</v>
      </c>
      <c r="O20" s="5" t="s">
        <v>37</v>
      </c>
      <c r="P20" s="5" t="s">
        <v>38</v>
      </c>
      <c r="Q20" s="5" t="s">
        <v>39</v>
      </c>
      <c r="R20" s="5" t="s">
        <v>165</v>
      </c>
      <c r="S20" s="5" t="s">
        <v>166</v>
      </c>
      <c r="T20" s="7">
        <v>11000</v>
      </c>
      <c r="U20" s="5"/>
      <c r="V20" s="4">
        <v>20249736390</v>
      </c>
      <c r="W20" s="5" t="s">
        <v>64</v>
      </c>
      <c r="X20" s="5" t="s">
        <v>55</v>
      </c>
      <c r="Y20" s="4">
        <v>600</v>
      </c>
      <c r="Z20" s="4">
        <v>447</v>
      </c>
      <c r="AA20" s="5">
        <f>Z20*100/Y20</f>
        <v>74.5</v>
      </c>
      <c r="AB20" s="5" t="s">
        <v>44</v>
      </c>
      <c r="AC20" s="5" t="s">
        <v>45</v>
      </c>
      <c r="AD20" s="5" t="s">
        <v>46</v>
      </c>
      <c r="AE20" s="4">
        <v>437549490945</v>
      </c>
      <c r="AM20" s="5"/>
      <c r="AN20" s="5"/>
      <c r="AO20" s="7"/>
      <c r="AP20" s="7"/>
      <c r="AQ20" s="7"/>
      <c r="AT20" s="5"/>
      <c r="AU20" s="5"/>
      <c r="AV20" s="5"/>
      <c r="AY20" s="4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1"/>
      <c r="BX20" s="5"/>
      <c r="BY20" s="8"/>
    </row>
    <row r="21" spans="1:77" x14ac:dyDescent="0.45">
      <c r="AM21" s="5"/>
      <c r="AN21" s="5"/>
      <c r="AO21" s="7"/>
      <c r="AP21" s="7"/>
      <c r="AQ21" s="7"/>
      <c r="AT21" s="5"/>
      <c r="AU21" s="5"/>
      <c r="AV21" s="5"/>
      <c r="AY21" s="4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X21" s="5"/>
      <c r="BY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SUPREETHA</dc:creator>
  <cp:lastModifiedBy>Swasthik Rao</cp:lastModifiedBy>
  <dcterms:created xsi:type="dcterms:W3CDTF">2025-04-08T11:21:35Z</dcterms:created>
  <dcterms:modified xsi:type="dcterms:W3CDTF">2025-04-23T14:12:57Z</dcterms:modified>
</cp:coreProperties>
</file>